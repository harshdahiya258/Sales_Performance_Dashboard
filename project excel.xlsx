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cer\Documents\excel\"/>
    </mc:Choice>
  </mc:AlternateContent>
  <xr:revisionPtr revIDLastSave="0" documentId="8_{9E790665-7D82-4878-A265-4549994FEFC2}" xr6:coauthVersionLast="47" xr6:coauthVersionMax="47" xr10:uidLastSave="{00000000-0000-0000-0000-000000000000}"/>
  <bookViews>
    <workbookView xWindow="-108" yWindow="-108" windowWidth="23256" windowHeight="12456" activeTab="2" xr2:uid="{CC7C6037-6928-443F-9C59-96CBAB9EB7CD}"/>
  </bookViews>
  <sheets>
    <sheet name="sales data" sheetId="1" r:id="rId1"/>
    <sheet name="dashboard" sheetId="5" r:id="rId2"/>
    <sheet name="pivot tables" sheetId="3" r:id="rId3"/>
    <sheet name="lookup lists" sheetId="4" r:id="rId4"/>
  </sheets>
  <definedNames>
    <definedName name="Slicer_Months__Order_date">#N/A</definedName>
    <definedName name="Slicer_product">#N/A</definedName>
    <definedName name="Slicer_region">#N/A</definedName>
    <definedName name="Slicer_sales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 i="1" l="1"/>
  <c r="K2" i="1"/>
  <c r="K3" i="1"/>
  <c r="K4" i="1"/>
  <c r="K5" i="1"/>
  <c r="K6" i="1"/>
  <c r="K7" i="1"/>
  <c r="K8" i="1"/>
  <c r="K9" i="1"/>
  <c r="K10" i="1"/>
  <c r="K11" i="1"/>
  <c r="K12" i="1"/>
  <c r="K13" i="1"/>
  <c r="K14" i="1"/>
  <c r="K15" i="1"/>
  <c r="K16" i="1"/>
  <c r="K17" i="1"/>
  <c r="K18" i="1"/>
  <c r="K19" i="1"/>
  <c r="K20" i="1"/>
  <c r="K21" i="1"/>
  <c r="K22" i="1"/>
  <c r="K23" i="1"/>
  <c r="K24" i="1"/>
  <c r="K25" i="1"/>
  <c r="F2" i="1"/>
  <c r="B6" i="5"/>
  <c r="H6" i="5"/>
  <c r="K6" i="5"/>
  <c r="L3" i="1"/>
  <c r="L4" i="1"/>
  <c r="L5" i="1"/>
  <c r="L6" i="1"/>
  <c r="L7" i="1"/>
  <c r="L8" i="1"/>
  <c r="L9" i="1"/>
  <c r="L10" i="1"/>
  <c r="L11" i="1"/>
  <c r="L12" i="1"/>
  <c r="L13" i="1"/>
  <c r="L14" i="1"/>
  <c r="L15" i="1"/>
  <c r="L16" i="1"/>
  <c r="L17" i="1"/>
  <c r="L18" i="1"/>
  <c r="L19" i="1"/>
  <c r="L20" i="1"/>
  <c r="L21" i="1"/>
  <c r="L22" i="1"/>
  <c r="L23" i="1"/>
  <c r="L24" i="1"/>
  <c r="L25" i="1"/>
  <c r="E6" i="5"/>
  <c r="J25" i="1"/>
  <c r="J3" i="1"/>
  <c r="J4" i="1"/>
  <c r="J5" i="1"/>
  <c r="J6" i="1"/>
  <c r="J7" i="1"/>
  <c r="J8" i="1"/>
  <c r="J9" i="1"/>
  <c r="J10" i="1"/>
  <c r="J11" i="1"/>
  <c r="J12" i="1"/>
  <c r="J13" i="1"/>
  <c r="J14" i="1"/>
  <c r="J15" i="1"/>
  <c r="J16" i="1"/>
  <c r="J17" i="1"/>
  <c r="J18" i="1"/>
  <c r="J19" i="1"/>
  <c r="J20" i="1"/>
  <c r="J21" i="1"/>
  <c r="J22" i="1"/>
  <c r="J23" i="1"/>
  <c r="J24" i="1"/>
  <c r="J2" i="1"/>
</calcChain>
</file>

<file path=xl/sharedStrings.xml><?xml version="1.0" encoding="utf-8"?>
<sst xmlns="http://schemas.openxmlformats.org/spreadsheetml/2006/main" count="218" uniqueCount="99">
  <si>
    <t>Order ID</t>
  </si>
  <si>
    <t xml:space="preserve">Order date </t>
  </si>
  <si>
    <t>salesperson</t>
  </si>
  <si>
    <t>region</t>
  </si>
  <si>
    <t>product</t>
  </si>
  <si>
    <t>category</t>
  </si>
  <si>
    <t>quantity</t>
  </si>
  <si>
    <t>unit price</t>
  </si>
  <si>
    <t>discount</t>
  </si>
  <si>
    <t>revenue</t>
  </si>
  <si>
    <t>cost</t>
  </si>
  <si>
    <t>profit</t>
  </si>
  <si>
    <t>regions</t>
  </si>
  <si>
    <t>products</t>
  </si>
  <si>
    <t xml:space="preserve">laptop </t>
  </si>
  <si>
    <t>monitor</t>
  </si>
  <si>
    <t>keyboard</t>
  </si>
  <si>
    <t>chair</t>
  </si>
  <si>
    <t>desk</t>
  </si>
  <si>
    <t>printer</t>
  </si>
  <si>
    <t>notebook</t>
  </si>
  <si>
    <t>pen</t>
  </si>
  <si>
    <t>electronics</t>
  </si>
  <si>
    <t>furniture</t>
  </si>
  <si>
    <t>office supplies</t>
  </si>
  <si>
    <t xml:space="preserve">north </t>
  </si>
  <si>
    <t>south</t>
  </si>
  <si>
    <t>east</t>
  </si>
  <si>
    <t>west</t>
  </si>
  <si>
    <t>rahul</t>
  </si>
  <si>
    <t>priya</t>
  </si>
  <si>
    <t>amit</t>
  </si>
  <si>
    <t>neha</t>
  </si>
  <si>
    <t>arjun</t>
  </si>
  <si>
    <t>sneha</t>
  </si>
  <si>
    <t>ORD-1001</t>
  </si>
  <si>
    <t>Rahul</t>
  </si>
  <si>
    <t>North</t>
  </si>
  <si>
    <t>Laptop</t>
  </si>
  <si>
    <t>Electronics</t>
  </si>
  <si>
    <t>ORD-1002</t>
  </si>
  <si>
    <t>Priya</t>
  </si>
  <si>
    <t>South</t>
  </si>
  <si>
    <t>Chair</t>
  </si>
  <si>
    <t>Furniture</t>
  </si>
  <si>
    <t>ORD-1003</t>
  </si>
  <si>
    <t>Amit</t>
  </si>
  <si>
    <t>East</t>
  </si>
  <si>
    <t>Notebook</t>
  </si>
  <si>
    <t>Office Supplies</t>
  </si>
  <si>
    <t>ORD-1004</t>
  </si>
  <si>
    <t>Neha</t>
  </si>
  <si>
    <t>West</t>
  </si>
  <si>
    <t>Monitor</t>
  </si>
  <si>
    <t>ORD-1005</t>
  </si>
  <si>
    <t>Arjun</t>
  </si>
  <si>
    <t>Desk</t>
  </si>
  <si>
    <t>ORD-1006</t>
  </si>
  <si>
    <t>Sneha</t>
  </si>
  <si>
    <t>Printer</t>
  </si>
  <si>
    <t>ORD-1007</t>
  </si>
  <si>
    <t>Keyboard</t>
  </si>
  <si>
    <t>ORD-1008</t>
  </si>
  <si>
    <t>Pen</t>
  </si>
  <si>
    <t>ORD-1009</t>
  </si>
  <si>
    <t>ORD-1010</t>
  </si>
  <si>
    <t>ORD-1011</t>
  </si>
  <si>
    <t>ORD-1012</t>
  </si>
  <si>
    <t>ORD-1013</t>
  </si>
  <si>
    <t>ORD-1014</t>
  </si>
  <si>
    <t>ORD-1015</t>
  </si>
  <si>
    <t>ORD-1016</t>
  </si>
  <si>
    <t>ORD-1017</t>
  </si>
  <si>
    <t>ORD-1018</t>
  </si>
  <si>
    <t>ORD-1019</t>
  </si>
  <si>
    <t>ORD-1020</t>
  </si>
  <si>
    <t>ORD-1021</t>
  </si>
  <si>
    <t>ORD-1022</t>
  </si>
  <si>
    <t>ORD-1023</t>
  </si>
  <si>
    <t>ORD-1024</t>
  </si>
  <si>
    <t>Sum of revenue</t>
  </si>
  <si>
    <t>Row Labels</t>
  </si>
  <si>
    <t>Grand Total</t>
  </si>
  <si>
    <t>Sales by region</t>
  </si>
  <si>
    <t>sales by product</t>
  </si>
  <si>
    <t>sales by salesperson</t>
  </si>
  <si>
    <t>Jan</t>
  </si>
  <si>
    <t>Feb</t>
  </si>
  <si>
    <t>Mar</t>
  </si>
  <si>
    <t>Apr</t>
  </si>
  <si>
    <t>sales performance dashboard</t>
  </si>
  <si>
    <t>total revenue</t>
  </si>
  <si>
    <t>total profit</t>
  </si>
  <si>
    <t>total orders</t>
  </si>
  <si>
    <t>average order value</t>
  </si>
  <si>
    <t>sales by order date</t>
  </si>
  <si>
    <t>Product</t>
  </si>
  <si>
    <t>Category</t>
  </si>
  <si>
    <t>Unit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</si>
</sst>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Aptos Narrow"/>
      <family val="2"/>
      <scheme val="minor"/>
    </font>
    <font>
      <b/>
      <sz val="11"/>
      <color theme="1"/>
      <name val="Aptos Narrow"/>
      <family val="2"/>
      <scheme val="minor"/>
    </font>
    <font>
      <b/>
      <sz val="36"/>
      <color theme="1"/>
      <name val="Aptos Narrow"/>
      <family val="2"/>
      <scheme val="minor"/>
    </font>
    <font>
      <b/>
      <sz val="20"/>
      <color theme="1"/>
      <name val="Aptos Narrow"/>
      <family val="2"/>
      <scheme val="minor"/>
    </font>
    <font>
      <b/>
      <sz val="24"/>
      <color theme="1"/>
      <name val="Aptos Narrow"/>
      <family val="2"/>
      <scheme val="minor"/>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3" fillId="0" borderId="0" xfId="0" applyFont="1"/>
    <xf numFmtId="164" fontId="3" fillId="0" borderId="0" xfId="0" applyNumberFormat="1" applyFont="1"/>
    <xf numFmtId="0" fontId="4" fillId="2" borderId="0" xfId="0" applyFont="1" applyFill="1"/>
    <xf numFmtId="0" fontId="0" fillId="2" borderId="0" xfId="0" applyFill="1"/>
    <xf numFmtId="0" fontId="2" fillId="2" borderId="0" xfId="0" applyFont="1" applyFill="1"/>
  </cellXfs>
  <cellStyles count="1">
    <cellStyle name="Normal" xfId="0" builtinId="0"/>
  </cellStyles>
  <dxfs count="2">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East</c:v>
                </c:pt>
                <c:pt idx="1">
                  <c:v>North</c:v>
                </c:pt>
                <c:pt idx="2">
                  <c:v>South</c:v>
                </c:pt>
                <c:pt idx="3">
                  <c:v>West</c:v>
                </c:pt>
              </c:strCache>
            </c:strRef>
          </c:cat>
          <c:val>
            <c:numRef>
              <c:f>'pivot tables'!$B$4:$B$8</c:f>
              <c:numCache>
                <c:formatCode>General</c:formatCode>
                <c:ptCount val="4"/>
                <c:pt idx="0">
                  <c:v>235880</c:v>
                </c:pt>
                <c:pt idx="1">
                  <c:v>285800</c:v>
                </c:pt>
                <c:pt idx="2">
                  <c:v>209220</c:v>
                </c:pt>
                <c:pt idx="3">
                  <c:v>220490</c:v>
                </c:pt>
              </c:numCache>
            </c:numRef>
          </c:val>
          <c:extLst>
            <c:ext xmlns:c16="http://schemas.microsoft.com/office/drawing/2014/chart" uri="{C3380CC4-5D6E-409C-BE32-E72D297353CC}">
              <c16:uniqueId val="{00000000-5ABB-4188-99D4-B5C6FBCD4C60}"/>
            </c:ext>
          </c:extLst>
        </c:ser>
        <c:dLbls>
          <c:showLegendKey val="0"/>
          <c:showVal val="0"/>
          <c:showCatName val="0"/>
          <c:showSerName val="0"/>
          <c:showPercent val="0"/>
          <c:showBubbleSize val="0"/>
        </c:dLbls>
        <c:gapWidth val="219"/>
        <c:overlap val="-27"/>
        <c:axId val="1742711231"/>
        <c:axId val="1779112239"/>
      </c:barChart>
      <c:catAx>
        <c:axId val="174271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12239"/>
        <c:crosses val="autoZero"/>
        <c:auto val="1"/>
        <c:lblAlgn val="ctr"/>
        <c:lblOffset val="100"/>
        <c:noMultiLvlLbl val="0"/>
      </c:catAx>
      <c:valAx>
        <c:axId val="177911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71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tables'!$E$4:$E$12</c:f>
              <c:strCache>
                <c:ptCount val="8"/>
                <c:pt idx="0">
                  <c:v>Chair</c:v>
                </c:pt>
                <c:pt idx="1">
                  <c:v>Desk</c:v>
                </c:pt>
                <c:pt idx="2">
                  <c:v>Keyboard</c:v>
                </c:pt>
                <c:pt idx="3">
                  <c:v>Laptop</c:v>
                </c:pt>
                <c:pt idx="4">
                  <c:v>Monitor</c:v>
                </c:pt>
                <c:pt idx="5">
                  <c:v>Notebook</c:v>
                </c:pt>
                <c:pt idx="6">
                  <c:v>Pen</c:v>
                </c:pt>
                <c:pt idx="7">
                  <c:v>Printer</c:v>
                </c:pt>
              </c:strCache>
            </c:strRef>
          </c:cat>
          <c:val>
            <c:numRef>
              <c:f>'pivot tables'!$F$4:$F$12</c:f>
              <c:numCache>
                <c:formatCode>General</c:formatCode>
                <c:ptCount val="8"/>
                <c:pt idx="0">
                  <c:v>75900</c:v>
                </c:pt>
                <c:pt idx="1">
                  <c:v>89600</c:v>
                </c:pt>
                <c:pt idx="2">
                  <c:v>51120</c:v>
                </c:pt>
                <c:pt idx="3">
                  <c:v>429000</c:v>
                </c:pt>
                <c:pt idx="4">
                  <c:v>167220</c:v>
                </c:pt>
                <c:pt idx="5">
                  <c:v>10800</c:v>
                </c:pt>
                <c:pt idx="6">
                  <c:v>4550</c:v>
                </c:pt>
                <c:pt idx="7">
                  <c:v>123200</c:v>
                </c:pt>
              </c:numCache>
            </c:numRef>
          </c:val>
          <c:extLst>
            <c:ext xmlns:c16="http://schemas.microsoft.com/office/drawing/2014/chart" uri="{C3380CC4-5D6E-409C-BE32-E72D297353CC}">
              <c16:uniqueId val="{00000000-DE5F-44DB-9B2E-A4146BA989AE}"/>
            </c:ext>
          </c:extLst>
        </c:ser>
        <c:dLbls>
          <c:showLegendKey val="0"/>
          <c:showVal val="0"/>
          <c:showCatName val="0"/>
          <c:showSerName val="0"/>
          <c:showPercent val="0"/>
          <c:showBubbleSize val="0"/>
        </c:dLbls>
        <c:gapWidth val="219"/>
        <c:overlap val="-27"/>
        <c:axId val="1779419119"/>
        <c:axId val="1779198159"/>
      </c:barChart>
      <c:catAx>
        <c:axId val="177941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98159"/>
        <c:crosses val="autoZero"/>
        <c:auto val="1"/>
        <c:lblAlgn val="ctr"/>
        <c:lblOffset val="100"/>
        <c:noMultiLvlLbl val="0"/>
      </c:catAx>
      <c:valAx>
        <c:axId val="177919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41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sales 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tables'!$A$18:$A$24</c:f>
              <c:strCache>
                <c:ptCount val="6"/>
                <c:pt idx="0">
                  <c:v>Amit</c:v>
                </c:pt>
                <c:pt idx="1">
                  <c:v>Arjun</c:v>
                </c:pt>
                <c:pt idx="2">
                  <c:v>Neha</c:v>
                </c:pt>
                <c:pt idx="3">
                  <c:v>Priya</c:v>
                </c:pt>
                <c:pt idx="4">
                  <c:v>Rahul</c:v>
                </c:pt>
                <c:pt idx="5">
                  <c:v>Sneha</c:v>
                </c:pt>
              </c:strCache>
            </c:strRef>
          </c:cat>
          <c:val>
            <c:numRef>
              <c:f>'pivot tables'!$B$18:$B$24</c:f>
              <c:numCache>
                <c:formatCode>General</c:formatCode>
                <c:ptCount val="6"/>
                <c:pt idx="0">
                  <c:v>91440</c:v>
                </c:pt>
                <c:pt idx="1">
                  <c:v>210560</c:v>
                </c:pt>
                <c:pt idx="2">
                  <c:v>244790</c:v>
                </c:pt>
                <c:pt idx="3">
                  <c:v>72600</c:v>
                </c:pt>
                <c:pt idx="4">
                  <c:v>219680</c:v>
                </c:pt>
                <c:pt idx="5">
                  <c:v>112320</c:v>
                </c:pt>
              </c:numCache>
            </c:numRef>
          </c:val>
          <c:extLst>
            <c:ext xmlns:c16="http://schemas.microsoft.com/office/drawing/2014/chart" uri="{C3380CC4-5D6E-409C-BE32-E72D297353CC}">
              <c16:uniqueId val="{00000000-2332-4C48-9CD2-2D18BB92F640}"/>
            </c:ext>
          </c:extLst>
        </c:ser>
        <c:dLbls>
          <c:showLegendKey val="0"/>
          <c:showVal val="0"/>
          <c:showCatName val="0"/>
          <c:showSerName val="0"/>
          <c:showPercent val="0"/>
          <c:showBubbleSize val="0"/>
        </c:dLbls>
        <c:gapWidth val="219"/>
        <c:overlap val="-27"/>
        <c:axId val="1797339055"/>
        <c:axId val="1779129999"/>
      </c:barChart>
      <c:catAx>
        <c:axId val="179733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29999"/>
        <c:crosses val="autoZero"/>
        <c:auto val="1"/>
        <c:lblAlgn val="ctr"/>
        <c:lblOffset val="100"/>
        <c:noMultiLvlLbl val="0"/>
      </c:catAx>
      <c:valAx>
        <c:axId val="177912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33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tables!PivotTable4</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6315966754155732"/>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tables'!$H$17</c:f>
              <c:strCache>
                <c:ptCount val="1"/>
                <c:pt idx="0">
                  <c:v>Total</c:v>
                </c:pt>
              </c:strCache>
            </c:strRef>
          </c:tx>
          <c:spPr>
            <a:solidFill>
              <a:schemeClr val="accent1"/>
            </a:solidFill>
            <a:ln>
              <a:noFill/>
            </a:ln>
            <a:effectLst/>
          </c:spPr>
          <c:invertIfNegative val="0"/>
          <c:cat>
            <c:strRef>
              <c:f>'pivot tables'!$G$18:$G$22</c:f>
              <c:strCache>
                <c:ptCount val="4"/>
                <c:pt idx="0">
                  <c:v>Jan</c:v>
                </c:pt>
                <c:pt idx="1">
                  <c:v>Feb</c:v>
                </c:pt>
                <c:pt idx="2">
                  <c:v>Mar</c:v>
                </c:pt>
                <c:pt idx="3">
                  <c:v>Apr</c:v>
                </c:pt>
              </c:strCache>
            </c:strRef>
          </c:cat>
          <c:val>
            <c:numRef>
              <c:f>'pivot tables'!$H$18:$H$22</c:f>
              <c:numCache>
                <c:formatCode>General</c:formatCode>
                <c:ptCount val="4"/>
                <c:pt idx="0">
                  <c:v>267310</c:v>
                </c:pt>
                <c:pt idx="1">
                  <c:v>175120</c:v>
                </c:pt>
                <c:pt idx="2">
                  <c:v>281880</c:v>
                </c:pt>
                <c:pt idx="3">
                  <c:v>227080</c:v>
                </c:pt>
              </c:numCache>
            </c:numRef>
          </c:val>
          <c:extLst>
            <c:ext xmlns:c16="http://schemas.microsoft.com/office/drawing/2014/chart" uri="{C3380CC4-5D6E-409C-BE32-E72D297353CC}">
              <c16:uniqueId val="{00000000-8EFA-4F28-9F52-08C2104BCA92}"/>
            </c:ext>
          </c:extLst>
        </c:ser>
        <c:dLbls>
          <c:showLegendKey val="0"/>
          <c:showVal val="0"/>
          <c:showCatName val="0"/>
          <c:showSerName val="0"/>
          <c:showPercent val="0"/>
          <c:showBubbleSize val="0"/>
        </c:dLbls>
        <c:gapWidth val="219"/>
        <c:overlap val="-27"/>
        <c:axId val="1741670079"/>
        <c:axId val="1779161679"/>
      </c:barChart>
      <c:catAx>
        <c:axId val="174167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61679"/>
        <c:crosses val="autoZero"/>
        <c:auto val="1"/>
        <c:lblAlgn val="ctr"/>
        <c:lblOffset val="100"/>
        <c:noMultiLvlLbl val="0"/>
      </c:catAx>
      <c:valAx>
        <c:axId val="177916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67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38100</xdr:colOff>
      <xdr:row>7</xdr:row>
      <xdr:rowOff>19050</xdr:rowOff>
    </xdr:from>
    <xdr:to>
      <xdr:col>5</xdr:col>
      <xdr:colOff>236220</xdr:colOff>
      <xdr:row>22</xdr:row>
      <xdr:rowOff>19050</xdr:rowOff>
    </xdr:to>
    <xdr:graphicFrame macro="">
      <xdr:nvGraphicFramePr>
        <xdr:cNvPr id="2" name="Chart 13">
          <a:extLst>
            <a:ext uri="{FF2B5EF4-FFF2-40B4-BE49-F238E27FC236}">
              <a16:creationId xmlns:a16="http://schemas.microsoft.com/office/drawing/2014/main" id="{A075C113-C2FA-5C80-47F8-7EF49CBCD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647700</xdr:colOff>
      <xdr:row>7</xdr:row>
      <xdr:rowOff>64770</xdr:rowOff>
    </xdr:from>
    <xdr:to>
      <xdr:col>17</xdr:col>
      <xdr:colOff>228600</xdr:colOff>
      <xdr:row>22</xdr:row>
      <xdr:rowOff>64770</xdr:rowOff>
    </xdr:to>
    <xdr:graphicFrame macro="">
      <xdr:nvGraphicFramePr>
        <xdr:cNvPr id="3" name="Chart 12">
          <a:extLst>
            <a:ext uri="{FF2B5EF4-FFF2-40B4-BE49-F238E27FC236}">
              <a16:creationId xmlns:a16="http://schemas.microsoft.com/office/drawing/2014/main" id="{75738714-ECB9-6816-8DA7-69D30FB1C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53340</xdr:colOff>
      <xdr:row>28</xdr:row>
      <xdr:rowOff>118110</xdr:rowOff>
    </xdr:from>
    <xdr:to>
      <xdr:col>5</xdr:col>
      <xdr:colOff>251460</xdr:colOff>
      <xdr:row>43</xdr:row>
      <xdr:rowOff>118110</xdr:rowOff>
    </xdr:to>
    <xdr:graphicFrame macro="">
      <xdr:nvGraphicFramePr>
        <xdr:cNvPr id="4" name="Chart 10">
          <a:extLst>
            <a:ext uri="{FF2B5EF4-FFF2-40B4-BE49-F238E27FC236}">
              <a16:creationId xmlns:a16="http://schemas.microsoft.com/office/drawing/2014/main" id="{E8AE5103-5AC1-73BE-F075-D6B17AC46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731520</xdr:colOff>
      <xdr:row>28</xdr:row>
      <xdr:rowOff>87630</xdr:rowOff>
    </xdr:from>
    <xdr:to>
      <xdr:col>17</xdr:col>
      <xdr:colOff>312420</xdr:colOff>
      <xdr:row>43</xdr:row>
      <xdr:rowOff>87630</xdr:rowOff>
    </xdr:to>
    <xdr:graphicFrame macro="">
      <xdr:nvGraphicFramePr>
        <xdr:cNvPr id="5" name="Chart 11">
          <a:extLst>
            <a:ext uri="{FF2B5EF4-FFF2-40B4-BE49-F238E27FC236}">
              <a16:creationId xmlns:a16="http://schemas.microsoft.com/office/drawing/2014/main" id="{5F428ED6-0FBE-F7BF-DDB8-3015B5A2F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525780</xdr:colOff>
      <xdr:row>30</xdr:row>
      <xdr:rowOff>106680</xdr:rowOff>
    </xdr:from>
    <xdr:to>
      <xdr:col>8</xdr:col>
      <xdr:colOff>525780</xdr:colOff>
      <xdr:row>44</xdr:row>
      <xdr:rowOff>127635</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061ECD14-9FE8-1AC8-CC76-F9734435EF9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5509260" y="6156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396240</xdr:colOff>
      <xdr:row>7</xdr:row>
      <xdr:rowOff>129540</xdr:rowOff>
    </xdr:from>
    <xdr:to>
      <xdr:col>8</xdr:col>
      <xdr:colOff>396240</xdr:colOff>
      <xdr:row>21</xdr:row>
      <xdr:rowOff>150495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DE7C6B6-4F33-BEA8-9684-CC32E26240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79720" y="19735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548640</xdr:colOff>
      <xdr:row>7</xdr:row>
      <xdr:rowOff>53340</xdr:rowOff>
    </xdr:from>
    <xdr:to>
      <xdr:col>20</xdr:col>
      <xdr:colOff>548640</xdr:colOff>
      <xdr:row>21</xdr:row>
      <xdr:rowOff>74295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3110B1F0-199D-7465-A422-DC5441BB311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571220" y="1897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137160</xdr:colOff>
      <xdr:row>28</xdr:row>
      <xdr:rowOff>114300</xdr:rowOff>
    </xdr:from>
    <xdr:to>
      <xdr:col>21</xdr:col>
      <xdr:colOff>137160</xdr:colOff>
      <xdr:row>42</xdr:row>
      <xdr:rowOff>135255</xdr:rowOff>
    </xdr:to>
    <mc:AlternateContent xmlns:mc="http://schemas.openxmlformats.org/markup-compatibility/2006" xmlns:a14="http://schemas.microsoft.com/office/drawing/2010/main">
      <mc:Choice Requires="a14">
        <xdr:graphicFrame macro="">
          <xdr:nvGraphicFramePr>
            <xdr:cNvPr id="9" name="Months (Order date )">
              <a:extLst>
                <a:ext uri="{FF2B5EF4-FFF2-40B4-BE49-F238E27FC236}">
                  <a16:creationId xmlns:a16="http://schemas.microsoft.com/office/drawing/2014/main" id="{C79736EF-8D77-DD03-7E6E-48B243E028E2}"/>
                </a:ext>
              </a:extLst>
            </xdr:cNvPr>
            <xdr:cNvGraphicFramePr/>
          </xdr:nvGraphicFramePr>
          <xdr:xfrm>
            <a:off x="0" y="0"/>
            <a:ext cx="0" cy="0"/>
          </xdr:xfrm>
          <a:graphic>
            <a:graphicData uri="http://schemas.microsoft.com/office/drawing/2010/slicer">
              <sle:slicer xmlns:sle="http://schemas.microsoft.com/office/drawing/2010/slicer" name="Months (Order date )"/>
            </a:graphicData>
          </a:graphic>
        </xdr:graphicFrame>
      </mc:Choice>
      <mc:Fallback xmlns="">
        <xdr:sp macro="" textlink="">
          <xdr:nvSpPr>
            <xdr:cNvPr id="0" name=""/>
            <xdr:cNvSpPr>
              <a:spLocks noTextEdit="1"/>
            </xdr:cNvSpPr>
          </xdr:nvSpPr>
          <xdr:spPr>
            <a:xfrm>
              <a:off x="13769340" y="5798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84.771235532404" createdVersion="8" refreshedVersion="8" minRefreshableVersion="3" recordCount="24" xr:uid="{286F7DF9-F947-4624-B999-FDAAB612A9D0}">
  <cacheSource type="worksheet">
    <worksheetSource name="Table1"/>
  </cacheSource>
  <cacheFields count="14">
    <cacheField name="Order ID" numFmtId="0">
      <sharedItems/>
    </cacheField>
    <cacheField name="Order date " numFmtId="14">
      <sharedItems containsSemiMixedTypes="0" containsNonDate="0" containsDate="1" containsString="0" minDate="2025-01-05T00:00:00" maxDate="2025-04-29T00:00:00" count="24">
        <d v="2025-01-05T00:00:00"/>
        <d v="2025-01-08T00:00:00"/>
        <d v="2025-01-12T00:00:00"/>
        <d v="2025-01-16T00:00:00"/>
        <d v="2025-01-21T00:00:00"/>
        <d v="2025-01-27T00:00:00"/>
        <d v="2025-02-03T00:00:00"/>
        <d v="2025-02-07T00:00:00"/>
        <d v="2025-02-11T00:00:00"/>
        <d v="2025-02-15T00:00:00"/>
        <d v="2025-02-19T00:00:00"/>
        <d v="2025-02-25T00:00:00"/>
        <d v="2025-03-02T00:00:00"/>
        <d v="2025-03-06T00:00:00"/>
        <d v="2025-03-10T00:00:00"/>
        <d v="2025-03-14T00:00:00"/>
        <d v="2025-03-18T00:00:00"/>
        <d v="2025-03-23T00:00:00"/>
        <d v="2025-04-04T00:00:00"/>
        <d v="2025-04-09T00:00:00"/>
        <d v="2025-04-13T00:00:00"/>
        <d v="2025-04-17T00:00:00"/>
        <d v="2025-04-22T00:00:00"/>
        <d v="2025-04-28T00:00:00"/>
      </sharedItems>
      <fieldGroup par="13"/>
    </cacheField>
    <cacheField name="salesperson" numFmtId="0">
      <sharedItems count="6">
        <s v="Rahul"/>
        <s v="Priya"/>
        <s v="Amit"/>
        <s v="Neha"/>
        <s v="Arjun"/>
        <s v="Sneha"/>
      </sharedItems>
    </cacheField>
    <cacheField name="region" numFmtId="0">
      <sharedItems count="4">
        <s v="North"/>
        <s v="South"/>
        <s v="East"/>
        <s v="West"/>
      </sharedItems>
    </cacheField>
    <cacheField name="product" numFmtId="0">
      <sharedItems count="8">
        <s v="Laptop"/>
        <s v="Chair"/>
        <s v="Notebook"/>
        <s v="Monitor"/>
        <s v="Desk"/>
        <s v="Printer"/>
        <s v="Keyboard"/>
        <s v="Pen"/>
      </sharedItems>
    </cacheField>
    <cacheField name="category" numFmtId="0">
      <sharedItems/>
    </cacheField>
    <cacheField name="quantity" numFmtId="0">
      <sharedItems containsSemiMixedTypes="0" containsString="0" containsNumber="1" containsInteger="1" minValue="1" maxValue="80"/>
    </cacheField>
    <cacheField name="unit price" numFmtId="0">
      <sharedItems containsSemiMixedTypes="0" containsString="0" containsNumber="1" containsInteger="1" minValue="35" maxValue="65000"/>
    </cacheField>
    <cacheField name="discount" numFmtId="0">
      <sharedItems containsSemiMixedTypes="0" containsString="0" containsNumber="1" minValue="0" maxValue="0.1"/>
    </cacheField>
    <cacheField name="revenue" numFmtId="0">
      <sharedItems containsSemiMixedTypes="0" containsString="0" containsNumber="1" containsInteger="1" minValue="1750" maxValue="123500"/>
    </cacheField>
    <cacheField name="cost" numFmtId="0">
      <sharedItems containsSemiMixedTypes="0" containsString="0" containsNumber="1" containsInteger="1" minValue="900" maxValue="86000"/>
    </cacheField>
    <cacheField name="profit" numFmtId="0">
      <sharedItems containsSemiMixedTypes="0" containsString="0" containsNumber="1" containsInteger="1" minValue="850" maxValue="37500"/>
    </cacheField>
    <cacheField name="Days (Order date )" numFmtId="0" databaseField="0">
      <fieldGroup base="1">
        <rangePr groupBy="days" startDate="2025-01-05T00:00:00" endDate="2025-04-29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4-2025"/>
        </groupItems>
      </fieldGroup>
    </cacheField>
    <cacheField name="Months (Order date )" numFmtId="0" databaseField="0">
      <fieldGroup base="1">
        <rangePr groupBy="months" startDate="2025-01-05T00:00:00" endDate="2025-04-29T00:00:00"/>
        <groupItems count="14">
          <s v="&lt;05-01-2025"/>
          <s v="Jan"/>
          <s v="Feb"/>
          <s v="Mar"/>
          <s v="Apr"/>
          <s v="May"/>
          <s v="Jun"/>
          <s v="Jul"/>
          <s v="Aug"/>
          <s v="Sep"/>
          <s v="Oct"/>
          <s v="Nov"/>
          <s v="Dec"/>
          <s v="&gt;29-04-2025"/>
        </groupItems>
      </fieldGroup>
    </cacheField>
  </cacheFields>
  <extLst>
    <ext xmlns:x14="http://schemas.microsoft.com/office/spreadsheetml/2009/9/main" uri="{725AE2AE-9491-48be-B2B4-4EB974FC3084}">
      <x14:pivotCacheDefinition pivotCacheId="1151926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ORD-1001"/>
    <x v="0"/>
    <x v="0"/>
    <x v="0"/>
    <x v="0"/>
    <s v="Electronics"/>
    <n v="2"/>
    <n v="65000"/>
    <n v="0.05"/>
    <n v="123500"/>
    <n v="86000"/>
    <n v="37500"/>
  </r>
  <r>
    <s v="ORD-1002"/>
    <x v="1"/>
    <x v="1"/>
    <x v="1"/>
    <x v="1"/>
    <s v="Furniture"/>
    <n v="5"/>
    <n v="5500"/>
    <n v="0.1"/>
    <n v="24750"/>
    <n v="16500"/>
    <n v="8250"/>
  </r>
  <r>
    <s v="ORD-1003"/>
    <x v="2"/>
    <x v="2"/>
    <x v="2"/>
    <x v="2"/>
    <s v="Office Supplies"/>
    <n v="20"/>
    <n v="120"/>
    <n v="0"/>
    <n v="2400"/>
    <n v="1400"/>
    <n v="1000"/>
  </r>
  <r>
    <s v="ORD-1004"/>
    <x v="3"/>
    <x v="3"/>
    <x v="3"/>
    <x v="3"/>
    <s v="Electronics"/>
    <n v="3"/>
    <n v="18000"/>
    <n v="0.05"/>
    <n v="51300"/>
    <n v="36000"/>
    <n v="15300"/>
  </r>
  <r>
    <s v="ORD-1005"/>
    <x v="4"/>
    <x v="4"/>
    <x v="0"/>
    <x v="4"/>
    <s v="Furniture"/>
    <n v="2"/>
    <n v="14000"/>
    <n v="0.08"/>
    <n v="25760"/>
    <n v="18000"/>
    <n v="7760"/>
  </r>
  <r>
    <s v="ORD-1006"/>
    <x v="5"/>
    <x v="5"/>
    <x v="1"/>
    <x v="5"/>
    <s v="Electronics"/>
    <n v="2"/>
    <n v="22000"/>
    <n v="0.1"/>
    <n v="39600"/>
    <n v="30000"/>
    <n v="9600"/>
  </r>
  <r>
    <s v="ORD-1007"/>
    <x v="6"/>
    <x v="0"/>
    <x v="2"/>
    <x v="6"/>
    <s v="Electronics"/>
    <n v="8"/>
    <n v="1800"/>
    <n v="0.05"/>
    <n v="13680"/>
    <n v="7200"/>
    <n v="6480"/>
  </r>
  <r>
    <s v="ORD-1008"/>
    <x v="7"/>
    <x v="1"/>
    <x v="3"/>
    <x v="7"/>
    <s v="Office Supplies"/>
    <n v="50"/>
    <n v="35"/>
    <n v="0"/>
    <n v="1750"/>
    <n v="900"/>
    <n v="850"/>
  </r>
  <r>
    <s v="ORD-1009"/>
    <x v="8"/>
    <x v="2"/>
    <x v="0"/>
    <x v="3"/>
    <s v="Electronics"/>
    <n v="4"/>
    <n v="18000"/>
    <n v="0.08"/>
    <n v="66240"/>
    <n v="48000"/>
    <n v="18240"/>
  </r>
  <r>
    <s v="ORD-1010"/>
    <x v="9"/>
    <x v="3"/>
    <x v="1"/>
    <x v="1"/>
    <s v="Furniture"/>
    <n v="6"/>
    <n v="5500"/>
    <n v="0.05"/>
    <n v="31350"/>
    <n v="19800"/>
    <n v="11550"/>
  </r>
  <r>
    <s v="ORD-1011"/>
    <x v="10"/>
    <x v="4"/>
    <x v="2"/>
    <x v="0"/>
    <s v="Electronics"/>
    <n v="1"/>
    <n v="65000"/>
    <n v="0.1"/>
    <n v="58500"/>
    <n v="43000"/>
    <n v="15500"/>
  </r>
  <r>
    <s v="ORD-1012"/>
    <x v="11"/>
    <x v="5"/>
    <x v="3"/>
    <x v="2"/>
    <s v="Office Supplies"/>
    <n v="30"/>
    <n v="120"/>
    <n v="0"/>
    <n v="3600"/>
    <n v="2100"/>
    <n v="1500"/>
  </r>
  <r>
    <s v="ORD-1013"/>
    <x v="12"/>
    <x v="0"/>
    <x v="0"/>
    <x v="5"/>
    <s v="Electronics"/>
    <n v="3"/>
    <n v="22000"/>
    <n v="0.05"/>
    <n v="62700"/>
    <n v="45000"/>
    <n v="17700"/>
  </r>
  <r>
    <s v="ORD-1014"/>
    <x v="13"/>
    <x v="1"/>
    <x v="1"/>
    <x v="4"/>
    <s v="Furniture"/>
    <n v="2"/>
    <n v="14000"/>
    <n v="0.1"/>
    <n v="25200"/>
    <n v="18000"/>
    <n v="7200"/>
  </r>
  <r>
    <s v="ORD-1015"/>
    <x v="14"/>
    <x v="2"/>
    <x v="2"/>
    <x v="6"/>
    <s v="Electronics"/>
    <n v="10"/>
    <n v="1800"/>
    <n v="0"/>
    <n v="18000"/>
    <n v="9000"/>
    <n v="9000"/>
  </r>
  <r>
    <s v="ORD-1016"/>
    <x v="15"/>
    <x v="3"/>
    <x v="3"/>
    <x v="0"/>
    <s v="Electronics"/>
    <n v="2"/>
    <n v="65000"/>
    <n v="0.05"/>
    <n v="123500"/>
    <n v="86000"/>
    <n v="37500"/>
  </r>
  <r>
    <s v="ORD-1017"/>
    <x v="16"/>
    <x v="4"/>
    <x v="0"/>
    <x v="7"/>
    <s v="Office Supplies"/>
    <n v="80"/>
    <n v="35"/>
    <n v="0"/>
    <n v="2800"/>
    <n v="1440"/>
    <n v="1360"/>
  </r>
  <r>
    <s v="ORD-1018"/>
    <x v="17"/>
    <x v="5"/>
    <x v="1"/>
    <x v="3"/>
    <s v="Electronics"/>
    <n v="3"/>
    <n v="18000"/>
    <n v="0.08"/>
    <n v="49680"/>
    <n v="36000"/>
    <n v="13680"/>
  </r>
  <r>
    <s v="ORD-1019"/>
    <x v="18"/>
    <x v="0"/>
    <x v="2"/>
    <x v="1"/>
    <s v="Furniture"/>
    <n v="4"/>
    <n v="5500"/>
    <n v="0.1"/>
    <n v="19800"/>
    <n v="13200"/>
    <n v="6600"/>
  </r>
  <r>
    <s v="ORD-1020"/>
    <x v="19"/>
    <x v="1"/>
    <x v="3"/>
    <x v="5"/>
    <s v="Electronics"/>
    <n v="1"/>
    <n v="22000"/>
    <n v="0.05"/>
    <n v="20900"/>
    <n v="15000"/>
    <n v="5900"/>
  </r>
  <r>
    <s v="ORD-1021"/>
    <x v="20"/>
    <x v="2"/>
    <x v="0"/>
    <x v="2"/>
    <s v="Office Supplies"/>
    <n v="40"/>
    <n v="120"/>
    <n v="0"/>
    <n v="4800"/>
    <n v="2800"/>
    <n v="2000"/>
  </r>
  <r>
    <s v="ORD-1022"/>
    <x v="21"/>
    <x v="3"/>
    <x v="1"/>
    <x v="4"/>
    <s v="Furniture"/>
    <n v="3"/>
    <n v="14000"/>
    <n v="0.08"/>
    <n v="38640"/>
    <n v="27000"/>
    <n v="11640"/>
  </r>
  <r>
    <s v="ORD-1023"/>
    <x v="22"/>
    <x v="4"/>
    <x v="2"/>
    <x v="0"/>
    <s v="Electronics"/>
    <n v="2"/>
    <n v="65000"/>
    <n v="0.05"/>
    <n v="123500"/>
    <n v="86000"/>
    <n v="37500"/>
  </r>
  <r>
    <s v="ORD-1024"/>
    <x v="23"/>
    <x v="5"/>
    <x v="3"/>
    <x v="6"/>
    <s v="Electronics"/>
    <n v="12"/>
    <n v="1800"/>
    <n v="0.1"/>
    <n v="19440"/>
    <n v="10800"/>
    <n v="86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650904-DE94-4FEE-AA53-6FE5346937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7">
        <item x="2"/>
        <item x="4"/>
        <item x="3"/>
        <item x="1"/>
        <item x="0"/>
        <item x="5"/>
        <item t="default"/>
      </items>
    </pivotField>
    <pivotField axis="axisRow" showAll="0">
      <items count="5">
        <item x="2"/>
        <item x="0"/>
        <item x="1"/>
        <item x="3"/>
        <item t="default"/>
      </items>
    </pivotField>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9"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E4EDD2-FCD7-448E-A441-CA838D5E90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17:H22" firstHeaderRow="1" firstDataRow="1" firstDataCol="1"/>
  <pivotFields count="14">
    <pivotField showAll="0"/>
    <pivotField axis="axisRow"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5">
    <i>
      <x v="1"/>
    </i>
    <i>
      <x v="2"/>
    </i>
    <i>
      <x v="3"/>
    </i>
    <i>
      <x v="4"/>
    </i>
    <i t="grand">
      <x/>
    </i>
  </rowItems>
  <colItems count="1">
    <i/>
  </colItems>
  <dataFields count="1">
    <dataField name="Sum of revenue" fld="9" baseField="0" baseItem="0"/>
  </dataFields>
  <chartFormats count="1">
    <chartFormat chart="2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91A021-2ECF-4216-AE4A-F471E02D52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4" firstHeaderRow="1" firstDataRow="1" firstDataCol="1"/>
  <pivotFields count="14">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7">
        <item x="2"/>
        <item x="4"/>
        <item x="3"/>
        <item x="1"/>
        <item x="0"/>
        <item x="5"/>
        <item t="default"/>
      </items>
    </pivotField>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revenue" fld="9"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37581-FD73-437A-85B8-EC140A59AD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12" firstHeaderRow="1" firstDataRow="1" firstDataCol="1"/>
  <pivotFields count="14">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Row" showAll="0">
      <items count="9">
        <item x="1"/>
        <item x="4"/>
        <item x="6"/>
        <item x="0"/>
        <item x="3"/>
        <item x="2"/>
        <item x="7"/>
        <item x="5"/>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revenue" fld="9"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C73EE39-2B5D-49DE-8952-3F45031CCFA7}" sourceName="salesperson">
  <pivotTables>
    <pivotTable tabId="3" name="PivotTable1"/>
  </pivotTables>
  <data>
    <tabular pivotCacheId="1151926886">
      <items count="6">
        <i x="2" s="1"/>
        <i x="4" s="1"/>
        <i x="3" s="1"/>
        <i x="1"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B0FFBC-1B0C-42BF-BA9D-AA73B18BEC15}" sourceName="region">
  <pivotTables>
    <pivotTable tabId="3" name="PivotTable1"/>
  </pivotTables>
  <data>
    <tabular pivotCacheId="1151926886">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AD853B7-EBBE-4E1C-B023-8698DE8C3AA2}" sourceName="product">
  <pivotTables>
    <pivotTable tabId="3" name="PivotTable2"/>
  </pivotTables>
  <data>
    <tabular pivotCacheId="1151926886">
      <items count="8">
        <i x="1" s="1"/>
        <i x="4" s="1"/>
        <i x="6" s="1"/>
        <i x="0" s="1"/>
        <i x="3" s="1"/>
        <i x="2" s="1"/>
        <i x="7"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973DEF8-0994-46EC-9D2B-35B38D53DD19}" sourceName="Months (Order date )">
  <pivotTables>
    <pivotTable tabId="3" name="PivotTable2"/>
  </pivotTables>
  <data>
    <tabular pivotCacheId="1151926886">
      <items count="14">
        <i x="1" s="1"/>
        <i x="2" s="1"/>
        <i x="3" s="1"/>
        <i x="4" s="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0DA88618-F083-4ED8-9E60-6F08C22127D5}" cache="Slicer_salesperson" caption="salesperson" rowHeight="247650"/>
  <slicer name="region" xr10:uid="{164EC41A-912A-44BD-ADBB-AC326B7A434C}" cache="Slicer_region" caption="region" rowHeight="247650"/>
  <slicer name="product" xr10:uid="{3109D30D-D221-43AB-BC50-980CFAA15B50}" cache="Slicer_product" caption="product" rowHeight="247650"/>
  <slicer name="Months (Order date )" xr10:uid="{3B31E01C-BD05-4665-A40E-3ADE3197E377}" cache="Slicer_Months__Order_date" caption="Months (Order date )"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FC6AB3-8F56-4D96-94E9-2B1975A84C2D}" name="Table1" displayName="Table1" ref="A1:L25" totalsRowShown="0">
  <autoFilter ref="A1:L25" xr:uid="{29FC6AB3-8F56-4D96-94E9-2B1975A84C2D}"/>
  <tableColumns count="12">
    <tableColumn id="1" xr3:uid="{5BEB7417-8CA5-4BCC-9B99-07B824124D06}" name="Order ID"/>
    <tableColumn id="2" xr3:uid="{0EBAC0B8-1466-456A-91E1-07AE715C5164}" name="Order date " dataDxfId="1"/>
    <tableColumn id="3" xr3:uid="{F6AB3EDD-9ACC-4654-AFF2-EA2DD76917C6}" name="salesperson"/>
    <tableColumn id="4" xr3:uid="{B8699A16-61C2-496C-87CC-35B6CEE40CE1}" name="region"/>
    <tableColumn id="5" xr3:uid="{2E072791-D94F-4A62-BEDC-90D97E27571E}" name="product"/>
    <tableColumn id="6" xr3:uid="{D4455158-16DB-4F32-BE3E-B4E722EAB6FB}" name="category"/>
    <tableColumn id="7" xr3:uid="{3EBD35DA-9760-44F9-9708-43F526132DB0}" name="quantity"/>
    <tableColumn id="8" xr3:uid="{E0CBC835-2BA6-4CBC-9116-5641403358F0}" name="unit price"/>
    <tableColumn id="9" xr3:uid="{D3F39CCD-136D-40C0-AA99-E4EE23E3D320}" name="discount"/>
    <tableColumn id="10" xr3:uid="{7920B4E2-4231-45A9-B571-4A935507B770}" name="revenue">
      <calculatedColumnFormula>G2*H2*(1-I2)</calculatedColumnFormula>
    </tableColumn>
    <tableColumn id="11" xr3:uid="{F742B873-A051-4705-B382-054065F5DF5E}" name="cost" dataDxfId="0">
      <calculatedColumnFormula>G2*VLOOKUP(E2,'lookup lists'!$F$2:$H$9,3,FALSE)</calculatedColumnFormula>
    </tableColumn>
    <tableColumn id="12" xr3:uid="{8B1F83FD-5D98-4BF3-B23F-356C517F8774}" name="profit">
      <calculatedColumnFormula>J2-K2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DE00B-75C9-476F-890B-341BF4DA67C0}">
  <sheetPr>
    <pageSetUpPr autoPageBreaks="0"/>
  </sheetPr>
  <dimension ref="A1:L25"/>
  <sheetViews>
    <sheetView zoomScaleNormal="100" workbookViewId="0">
      <selection activeCell="F2" sqref="F2"/>
    </sheetView>
  </sheetViews>
  <sheetFormatPr defaultRowHeight="14.4" x14ac:dyDescent="0.3"/>
  <cols>
    <col min="1" max="1" width="9.77734375" customWidth="1"/>
    <col min="2" max="2" width="12.109375" customWidth="1"/>
    <col min="3" max="3" width="12.88671875" customWidth="1"/>
    <col min="5" max="5" width="9.44140625" customWidth="1"/>
    <col min="6" max="6" width="10" customWidth="1"/>
    <col min="7" max="7" width="9.77734375" customWidth="1"/>
    <col min="8" max="8" width="10.77734375" customWidth="1"/>
    <col min="9" max="9" width="10.109375" customWidth="1"/>
    <col min="10" max="10" width="9.441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35</v>
      </c>
      <c r="B2" s="1">
        <v>45662</v>
      </c>
      <c r="C2" t="s">
        <v>36</v>
      </c>
      <c r="D2" t="s">
        <v>37</v>
      </c>
      <c r="E2" t="s">
        <v>38</v>
      </c>
      <c r="F2" t="str">
        <f>VLOOKUP(E2,'lookup lists'!$F$2:$H$9,2,FALSE)</f>
        <v>Electronics</v>
      </c>
      <c r="G2">
        <v>2</v>
      </c>
      <c r="H2">
        <v>65000</v>
      </c>
      <c r="I2">
        <v>0.05</v>
      </c>
      <c r="J2">
        <f>G2*H2*(1-I2)</f>
        <v>123500</v>
      </c>
      <c r="K2">
        <f>G2*VLOOKUP(E2,'lookup lists'!$F$2:$H$9,3,FALSE)</f>
        <v>86000</v>
      </c>
      <c r="L2">
        <f>J2-K2</f>
        <v>37500</v>
      </c>
    </row>
    <row r="3" spans="1:12" x14ac:dyDescent="0.3">
      <c r="A3" t="s">
        <v>40</v>
      </c>
      <c r="B3" s="1">
        <v>45665</v>
      </c>
      <c r="C3" t="s">
        <v>41</v>
      </c>
      <c r="D3" t="s">
        <v>42</v>
      </c>
      <c r="E3" t="s">
        <v>43</v>
      </c>
      <c r="F3" t="s">
        <v>44</v>
      </c>
      <c r="G3">
        <v>5</v>
      </c>
      <c r="H3">
        <v>5500</v>
      </c>
      <c r="I3">
        <v>0.1</v>
      </c>
      <c r="J3">
        <f t="shared" ref="J3:J25" si="0">G3*H3*(1-I3)</f>
        <v>24750</v>
      </c>
      <c r="K3">
        <f>G3*VLOOKUP(E3,'lookup lists'!$F$2:$H$9,3,FALSE)</f>
        <v>16500</v>
      </c>
      <c r="L3">
        <f t="shared" ref="L3:L25" si="1">J3-K3</f>
        <v>8250</v>
      </c>
    </row>
    <row r="4" spans="1:12" x14ac:dyDescent="0.3">
      <c r="A4" t="s">
        <v>45</v>
      </c>
      <c r="B4" s="1">
        <v>45669</v>
      </c>
      <c r="C4" t="s">
        <v>46</v>
      </c>
      <c r="D4" t="s">
        <v>47</v>
      </c>
      <c r="E4" t="s">
        <v>48</v>
      </c>
      <c r="F4" t="s">
        <v>49</v>
      </c>
      <c r="G4">
        <v>20</v>
      </c>
      <c r="H4">
        <v>120</v>
      </c>
      <c r="I4">
        <v>0</v>
      </c>
      <c r="J4">
        <f t="shared" si="0"/>
        <v>2400</v>
      </c>
      <c r="K4">
        <f>G4*VLOOKUP(E4,'lookup lists'!$F$2:$H$9,3,FALSE)</f>
        <v>1400</v>
      </c>
      <c r="L4">
        <f t="shared" si="1"/>
        <v>1000</v>
      </c>
    </row>
    <row r="5" spans="1:12" x14ac:dyDescent="0.3">
      <c r="A5" t="s">
        <v>50</v>
      </c>
      <c r="B5" s="1">
        <v>45673</v>
      </c>
      <c r="C5" t="s">
        <v>51</v>
      </c>
      <c r="D5" t="s">
        <v>52</v>
      </c>
      <c r="E5" t="s">
        <v>53</v>
      </c>
      <c r="F5" t="s">
        <v>39</v>
      </c>
      <c r="G5">
        <v>3</v>
      </c>
      <c r="H5">
        <v>18000</v>
      </c>
      <c r="I5">
        <v>0.05</v>
      </c>
      <c r="J5">
        <f t="shared" si="0"/>
        <v>51300</v>
      </c>
      <c r="K5">
        <f>G5*VLOOKUP(E5,'lookup lists'!$F$2:$H$9,3,FALSE)</f>
        <v>36000</v>
      </c>
      <c r="L5">
        <f t="shared" si="1"/>
        <v>15300</v>
      </c>
    </row>
    <row r="6" spans="1:12" x14ac:dyDescent="0.3">
      <c r="A6" t="s">
        <v>54</v>
      </c>
      <c r="B6" s="1">
        <v>45678</v>
      </c>
      <c r="C6" t="s">
        <v>55</v>
      </c>
      <c r="D6" t="s">
        <v>37</v>
      </c>
      <c r="E6" t="s">
        <v>56</v>
      </c>
      <c r="F6" t="s">
        <v>44</v>
      </c>
      <c r="G6">
        <v>2</v>
      </c>
      <c r="H6">
        <v>14000</v>
      </c>
      <c r="I6">
        <v>0.08</v>
      </c>
      <c r="J6">
        <f t="shared" si="0"/>
        <v>25760</v>
      </c>
      <c r="K6">
        <f>G6*VLOOKUP(E6,'lookup lists'!$F$2:$H$9,3,FALSE)</f>
        <v>18000</v>
      </c>
      <c r="L6">
        <f t="shared" si="1"/>
        <v>7760</v>
      </c>
    </row>
    <row r="7" spans="1:12" x14ac:dyDescent="0.3">
      <c r="A7" t="s">
        <v>57</v>
      </c>
      <c r="B7" s="1">
        <v>45684</v>
      </c>
      <c r="C7" t="s">
        <v>58</v>
      </c>
      <c r="D7" t="s">
        <v>42</v>
      </c>
      <c r="E7" t="s">
        <v>59</v>
      </c>
      <c r="F7" t="s">
        <v>39</v>
      </c>
      <c r="G7">
        <v>2</v>
      </c>
      <c r="H7">
        <v>22000</v>
      </c>
      <c r="I7">
        <v>0.1</v>
      </c>
      <c r="J7">
        <f t="shared" si="0"/>
        <v>39600</v>
      </c>
      <c r="K7">
        <f>G7*VLOOKUP(E7,'lookup lists'!$F$2:$H$9,3,FALSE)</f>
        <v>30000</v>
      </c>
      <c r="L7">
        <f t="shared" si="1"/>
        <v>9600</v>
      </c>
    </row>
    <row r="8" spans="1:12" x14ac:dyDescent="0.3">
      <c r="A8" t="s">
        <v>60</v>
      </c>
      <c r="B8" s="1">
        <v>45691</v>
      </c>
      <c r="C8" t="s">
        <v>36</v>
      </c>
      <c r="D8" t="s">
        <v>47</v>
      </c>
      <c r="E8" t="s">
        <v>61</v>
      </c>
      <c r="F8" t="s">
        <v>39</v>
      </c>
      <c r="G8">
        <v>8</v>
      </c>
      <c r="H8">
        <v>1800</v>
      </c>
      <c r="I8">
        <v>0.05</v>
      </c>
      <c r="J8">
        <f t="shared" si="0"/>
        <v>13680</v>
      </c>
      <c r="K8">
        <f>G8*VLOOKUP(E8,'lookup lists'!$F$2:$H$9,3,FALSE)</f>
        <v>7200</v>
      </c>
      <c r="L8">
        <f t="shared" si="1"/>
        <v>6480</v>
      </c>
    </row>
    <row r="9" spans="1:12" x14ac:dyDescent="0.3">
      <c r="A9" t="s">
        <v>62</v>
      </c>
      <c r="B9" s="1">
        <v>45695</v>
      </c>
      <c r="C9" t="s">
        <v>41</v>
      </c>
      <c r="D9" t="s">
        <v>52</v>
      </c>
      <c r="E9" t="s">
        <v>63</v>
      </c>
      <c r="F9" t="s">
        <v>49</v>
      </c>
      <c r="G9">
        <v>50</v>
      </c>
      <c r="H9">
        <v>35</v>
      </c>
      <c r="I9">
        <v>0</v>
      </c>
      <c r="J9">
        <f t="shared" si="0"/>
        <v>1750</v>
      </c>
      <c r="K9">
        <f>G9*VLOOKUP(E9,'lookup lists'!$F$2:$H$9,3,FALSE)</f>
        <v>900</v>
      </c>
      <c r="L9">
        <f t="shared" si="1"/>
        <v>850</v>
      </c>
    </row>
    <row r="10" spans="1:12" x14ac:dyDescent="0.3">
      <c r="A10" t="s">
        <v>64</v>
      </c>
      <c r="B10" s="1">
        <v>45699</v>
      </c>
      <c r="C10" t="s">
        <v>46</v>
      </c>
      <c r="D10" t="s">
        <v>37</v>
      </c>
      <c r="E10" t="s">
        <v>53</v>
      </c>
      <c r="F10" t="s">
        <v>39</v>
      </c>
      <c r="G10">
        <v>4</v>
      </c>
      <c r="H10">
        <v>18000</v>
      </c>
      <c r="I10">
        <v>0.08</v>
      </c>
      <c r="J10">
        <f t="shared" si="0"/>
        <v>66240</v>
      </c>
      <c r="K10">
        <f>G10*VLOOKUP(E10,'lookup lists'!$F$2:$H$9,3,FALSE)</f>
        <v>48000</v>
      </c>
      <c r="L10">
        <f t="shared" si="1"/>
        <v>18240</v>
      </c>
    </row>
    <row r="11" spans="1:12" x14ac:dyDescent="0.3">
      <c r="A11" t="s">
        <v>65</v>
      </c>
      <c r="B11" s="1">
        <v>45703</v>
      </c>
      <c r="C11" t="s">
        <v>51</v>
      </c>
      <c r="D11" t="s">
        <v>42</v>
      </c>
      <c r="E11" t="s">
        <v>43</v>
      </c>
      <c r="F11" t="s">
        <v>44</v>
      </c>
      <c r="G11">
        <v>6</v>
      </c>
      <c r="H11">
        <v>5500</v>
      </c>
      <c r="I11">
        <v>0.05</v>
      </c>
      <c r="J11">
        <f t="shared" si="0"/>
        <v>31350</v>
      </c>
      <c r="K11">
        <f>G11*VLOOKUP(E11,'lookup lists'!$F$2:$H$9,3,FALSE)</f>
        <v>19800</v>
      </c>
      <c r="L11">
        <f t="shared" si="1"/>
        <v>11550</v>
      </c>
    </row>
    <row r="12" spans="1:12" x14ac:dyDescent="0.3">
      <c r="A12" t="s">
        <v>66</v>
      </c>
      <c r="B12" s="1">
        <v>45707</v>
      </c>
      <c r="C12" t="s">
        <v>55</v>
      </c>
      <c r="D12" t="s">
        <v>47</v>
      </c>
      <c r="E12" t="s">
        <v>38</v>
      </c>
      <c r="F12" t="s">
        <v>39</v>
      </c>
      <c r="G12">
        <v>1</v>
      </c>
      <c r="H12">
        <v>65000</v>
      </c>
      <c r="I12">
        <v>0.1</v>
      </c>
      <c r="J12">
        <f t="shared" si="0"/>
        <v>58500</v>
      </c>
      <c r="K12">
        <f>G12*VLOOKUP(E12,'lookup lists'!$F$2:$H$9,3,FALSE)</f>
        <v>43000</v>
      </c>
      <c r="L12">
        <f t="shared" si="1"/>
        <v>15500</v>
      </c>
    </row>
    <row r="13" spans="1:12" x14ac:dyDescent="0.3">
      <c r="A13" t="s">
        <v>67</v>
      </c>
      <c r="B13" s="1">
        <v>45713</v>
      </c>
      <c r="C13" t="s">
        <v>58</v>
      </c>
      <c r="D13" t="s">
        <v>52</v>
      </c>
      <c r="E13" t="s">
        <v>48</v>
      </c>
      <c r="F13" t="s">
        <v>49</v>
      </c>
      <c r="G13">
        <v>30</v>
      </c>
      <c r="H13">
        <v>120</v>
      </c>
      <c r="I13">
        <v>0</v>
      </c>
      <c r="J13">
        <f t="shared" si="0"/>
        <v>3600</v>
      </c>
      <c r="K13">
        <f>G13*VLOOKUP(E13,'lookup lists'!$F$2:$H$9,3,FALSE)</f>
        <v>2100</v>
      </c>
      <c r="L13">
        <f t="shared" si="1"/>
        <v>1500</v>
      </c>
    </row>
    <row r="14" spans="1:12" x14ac:dyDescent="0.3">
      <c r="A14" t="s">
        <v>68</v>
      </c>
      <c r="B14" s="1">
        <v>45718</v>
      </c>
      <c r="C14" t="s">
        <v>36</v>
      </c>
      <c r="D14" t="s">
        <v>37</v>
      </c>
      <c r="E14" t="s">
        <v>59</v>
      </c>
      <c r="F14" t="s">
        <v>39</v>
      </c>
      <c r="G14">
        <v>3</v>
      </c>
      <c r="H14">
        <v>22000</v>
      </c>
      <c r="I14">
        <v>0.05</v>
      </c>
      <c r="J14">
        <f t="shared" si="0"/>
        <v>62700</v>
      </c>
      <c r="K14">
        <f>G14*VLOOKUP(E14,'lookup lists'!$F$2:$H$9,3,FALSE)</f>
        <v>45000</v>
      </c>
      <c r="L14">
        <f t="shared" si="1"/>
        <v>17700</v>
      </c>
    </row>
    <row r="15" spans="1:12" x14ac:dyDescent="0.3">
      <c r="A15" t="s">
        <v>69</v>
      </c>
      <c r="B15" s="1">
        <v>45722</v>
      </c>
      <c r="C15" t="s">
        <v>41</v>
      </c>
      <c r="D15" t="s">
        <v>42</v>
      </c>
      <c r="E15" t="s">
        <v>56</v>
      </c>
      <c r="F15" t="s">
        <v>44</v>
      </c>
      <c r="G15">
        <v>2</v>
      </c>
      <c r="H15">
        <v>14000</v>
      </c>
      <c r="I15">
        <v>0.1</v>
      </c>
      <c r="J15">
        <f t="shared" si="0"/>
        <v>25200</v>
      </c>
      <c r="K15">
        <f>G15*VLOOKUP(E15,'lookup lists'!$F$2:$H$9,3,FALSE)</f>
        <v>18000</v>
      </c>
      <c r="L15">
        <f t="shared" si="1"/>
        <v>7200</v>
      </c>
    </row>
    <row r="16" spans="1:12" x14ac:dyDescent="0.3">
      <c r="A16" t="s">
        <v>70</v>
      </c>
      <c r="B16" s="1">
        <v>45726</v>
      </c>
      <c r="C16" t="s">
        <v>46</v>
      </c>
      <c r="D16" t="s">
        <v>47</v>
      </c>
      <c r="E16" t="s">
        <v>61</v>
      </c>
      <c r="F16" t="s">
        <v>39</v>
      </c>
      <c r="G16">
        <v>10</v>
      </c>
      <c r="H16">
        <v>1800</v>
      </c>
      <c r="I16">
        <v>0</v>
      </c>
      <c r="J16">
        <f t="shared" si="0"/>
        <v>18000</v>
      </c>
      <c r="K16">
        <f>G16*VLOOKUP(E16,'lookup lists'!$F$2:$H$9,3,FALSE)</f>
        <v>9000</v>
      </c>
      <c r="L16">
        <f t="shared" si="1"/>
        <v>9000</v>
      </c>
    </row>
    <row r="17" spans="1:12" x14ac:dyDescent="0.3">
      <c r="A17" t="s">
        <v>71</v>
      </c>
      <c r="B17" s="1">
        <v>45730</v>
      </c>
      <c r="C17" t="s">
        <v>51</v>
      </c>
      <c r="D17" t="s">
        <v>52</v>
      </c>
      <c r="E17" t="s">
        <v>38</v>
      </c>
      <c r="F17" t="s">
        <v>39</v>
      </c>
      <c r="G17">
        <v>2</v>
      </c>
      <c r="H17">
        <v>65000</v>
      </c>
      <c r="I17">
        <v>0.05</v>
      </c>
      <c r="J17">
        <f t="shared" si="0"/>
        <v>123500</v>
      </c>
      <c r="K17">
        <f>G17*VLOOKUP(E17,'lookup lists'!$F$2:$H$9,3,FALSE)</f>
        <v>86000</v>
      </c>
      <c r="L17">
        <f t="shared" si="1"/>
        <v>37500</v>
      </c>
    </row>
    <row r="18" spans="1:12" x14ac:dyDescent="0.3">
      <c r="A18" t="s">
        <v>72</v>
      </c>
      <c r="B18" s="1">
        <v>45734</v>
      </c>
      <c r="C18" t="s">
        <v>55</v>
      </c>
      <c r="D18" t="s">
        <v>37</v>
      </c>
      <c r="E18" t="s">
        <v>63</v>
      </c>
      <c r="F18" t="s">
        <v>49</v>
      </c>
      <c r="G18">
        <v>80</v>
      </c>
      <c r="H18">
        <v>35</v>
      </c>
      <c r="I18">
        <v>0</v>
      </c>
      <c r="J18">
        <f t="shared" si="0"/>
        <v>2800</v>
      </c>
      <c r="K18">
        <f>G18*VLOOKUP(E18,'lookup lists'!$F$2:$H$9,3,FALSE)</f>
        <v>1440</v>
      </c>
      <c r="L18">
        <f t="shared" si="1"/>
        <v>1360</v>
      </c>
    </row>
    <row r="19" spans="1:12" x14ac:dyDescent="0.3">
      <c r="A19" t="s">
        <v>73</v>
      </c>
      <c r="B19" s="1">
        <v>45739</v>
      </c>
      <c r="C19" t="s">
        <v>58</v>
      </c>
      <c r="D19" t="s">
        <v>42</v>
      </c>
      <c r="E19" t="s">
        <v>53</v>
      </c>
      <c r="F19" t="s">
        <v>39</v>
      </c>
      <c r="G19">
        <v>3</v>
      </c>
      <c r="H19">
        <v>18000</v>
      </c>
      <c r="I19">
        <v>0.08</v>
      </c>
      <c r="J19">
        <f t="shared" si="0"/>
        <v>49680</v>
      </c>
      <c r="K19">
        <f>G19*VLOOKUP(E19,'lookup lists'!$F$2:$H$9,3,FALSE)</f>
        <v>36000</v>
      </c>
      <c r="L19">
        <f t="shared" si="1"/>
        <v>13680</v>
      </c>
    </row>
    <row r="20" spans="1:12" x14ac:dyDescent="0.3">
      <c r="A20" t="s">
        <v>74</v>
      </c>
      <c r="B20" s="1">
        <v>45751</v>
      </c>
      <c r="C20" t="s">
        <v>36</v>
      </c>
      <c r="D20" t="s">
        <v>47</v>
      </c>
      <c r="E20" t="s">
        <v>43</v>
      </c>
      <c r="F20" t="s">
        <v>44</v>
      </c>
      <c r="G20">
        <v>4</v>
      </c>
      <c r="H20">
        <v>5500</v>
      </c>
      <c r="I20">
        <v>0.1</v>
      </c>
      <c r="J20">
        <f t="shared" si="0"/>
        <v>19800</v>
      </c>
      <c r="K20">
        <f>G20*VLOOKUP(E20,'lookup lists'!$F$2:$H$9,3,FALSE)</f>
        <v>13200</v>
      </c>
      <c r="L20">
        <f t="shared" si="1"/>
        <v>6600</v>
      </c>
    </row>
    <row r="21" spans="1:12" x14ac:dyDescent="0.3">
      <c r="A21" t="s">
        <v>75</v>
      </c>
      <c r="B21" s="1">
        <v>45756</v>
      </c>
      <c r="C21" t="s">
        <v>41</v>
      </c>
      <c r="D21" t="s">
        <v>52</v>
      </c>
      <c r="E21" t="s">
        <v>59</v>
      </c>
      <c r="F21" t="s">
        <v>39</v>
      </c>
      <c r="G21">
        <v>1</v>
      </c>
      <c r="H21">
        <v>22000</v>
      </c>
      <c r="I21">
        <v>0.05</v>
      </c>
      <c r="J21">
        <f t="shared" si="0"/>
        <v>20900</v>
      </c>
      <c r="K21">
        <f>G21*VLOOKUP(E21,'lookup lists'!$F$2:$H$9,3,FALSE)</f>
        <v>15000</v>
      </c>
      <c r="L21">
        <f t="shared" si="1"/>
        <v>5900</v>
      </c>
    </row>
    <row r="22" spans="1:12" x14ac:dyDescent="0.3">
      <c r="A22" t="s">
        <v>76</v>
      </c>
      <c r="B22" s="1">
        <v>45760</v>
      </c>
      <c r="C22" t="s">
        <v>46</v>
      </c>
      <c r="D22" t="s">
        <v>37</v>
      </c>
      <c r="E22" t="s">
        <v>48</v>
      </c>
      <c r="F22" t="s">
        <v>49</v>
      </c>
      <c r="G22">
        <v>40</v>
      </c>
      <c r="H22">
        <v>120</v>
      </c>
      <c r="I22">
        <v>0</v>
      </c>
      <c r="J22">
        <f t="shared" si="0"/>
        <v>4800</v>
      </c>
      <c r="K22">
        <f>G22*VLOOKUP(E22,'lookup lists'!$F$2:$H$9,3,FALSE)</f>
        <v>2800</v>
      </c>
      <c r="L22">
        <f t="shared" si="1"/>
        <v>2000</v>
      </c>
    </row>
    <row r="23" spans="1:12" x14ac:dyDescent="0.3">
      <c r="A23" t="s">
        <v>77</v>
      </c>
      <c r="B23" s="1">
        <v>45764</v>
      </c>
      <c r="C23" t="s">
        <v>51</v>
      </c>
      <c r="D23" t="s">
        <v>42</v>
      </c>
      <c r="E23" t="s">
        <v>56</v>
      </c>
      <c r="F23" t="s">
        <v>44</v>
      </c>
      <c r="G23">
        <v>3</v>
      </c>
      <c r="H23">
        <v>14000</v>
      </c>
      <c r="I23">
        <v>0.08</v>
      </c>
      <c r="J23">
        <f t="shared" si="0"/>
        <v>38640</v>
      </c>
      <c r="K23">
        <f>G23*VLOOKUP(E23,'lookup lists'!$F$2:$H$9,3,FALSE)</f>
        <v>27000</v>
      </c>
      <c r="L23">
        <f t="shared" si="1"/>
        <v>11640</v>
      </c>
    </row>
    <row r="24" spans="1:12" x14ac:dyDescent="0.3">
      <c r="A24" t="s">
        <v>78</v>
      </c>
      <c r="B24" s="1">
        <v>45769</v>
      </c>
      <c r="C24" t="s">
        <v>55</v>
      </c>
      <c r="D24" t="s">
        <v>47</v>
      </c>
      <c r="E24" t="s">
        <v>38</v>
      </c>
      <c r="F24" t="s">
        <v>39</v>
      </c>
      <c r="G24">
        <v>2</v>
      </c>
      <c r="H24">
        <v>65000</v>
      </c>
      <c r="I24">
        <v>0.05</v>
      </c>
      <c r="J24">
        <f t="shared" si="0"/>
        <v>123500</v>
      </c>
      <c r="K24">
        <f>G24*VLOOKUP(E24,'lookup lists'!$F$2:$H$9,3,FALSE)</f>
        <v>86000</v>
      </c>
      <c r="L24">
        <f t="shared" si="1"/>
        <v>37500</v>
      </c>
    </row>
    <row r="25" spans="1:12" x14ac:dyDescent="0.3">
      <c r="A25" t="s">
        <v>79</v>
      </c>
      <c r="B25" s="1">
        <v>45775</v>
      </c>
      <c r="C25" t="s">
        <v>58</v>
      </c>
      <c r="D25" t="s">
        <v>52</v>
      </c>
      <c r="E25" t="s">
        <v>61</v>
      </c>
      <c r="F25" t="s">
        <v>39</v>
      </c>
      <c r="G25">
        <v>12</v>
      </c>
      <c r="H25">
        <v>1800</v>
      </c>
      <c r="I25">
        <v>0.1</v>
      </c>
      <c r="J25">
        <f t="shared" si="0"/>
        <v>19440</v>
      </c>
      <c r="K25">
        <f>G25*VLOOKUP(E25,'lookup lists'!$F$2:$H$9,3,FALSE)</f>
        <v>10800</v>
      </c>
      <c r="L25">
        <f t="shared" si="1"/>
        <v>8640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41742-DB98-4CBD-9AA9-79D4B722C897}">
  <dimension ref="B3:K6"/>
  <sheetViews>
    <sheetView topLeftCell="A25" workbookViewId="0">
      <selection activeCell="B3" sqref="B3:K3"/>
    </sheetView>
  </sheetViews>
  <sheetFormatPr defaultRowHeight="14.4" x14ac:dyDescent="0.3"/>
  <cols>
    <col min="2" max="2" width="23.5546875" customWidth="1"/>
    <col min="5" max="5" width="22.44140625" bestFit="1" customWidth="1"/>
    <col min="11" max="11" width="19.44140625" bestFit="1" customWidth="1"/>
  </cols>
  <sheetData>
    <row r="3" spans="2:11" ht="47.4" x14ac:dyDescent="0.9">
      <c r="B3" s="9" t="s">
        <v>90</v>
      </c>
      <c r="C3" s="8"/>
      <c r="D3" s="8"/>
      <c r="E3" s="8"/>
      <c r="F3" s="8"/>
      <c r="G3" s="8"/>
      <c r="H3" s="8"/>
      <c r="I3" s="8"/>
      <c r="J3" s="8"/>
      <c r="K3" s="8"/>
    </row>
    <row r="5" spans="2:11" x14ac:dyDescent="0.3">
      <c r="B5" s="4" t="s">
        <v>91</v>
      </c>
      <c r="E5" s="4" t="s">
        <v>92</v>
      </c>
      <c r="H5" s="4" t="s">
        <v>93</v>
      </c>
      <c r="K5" s="4" t="s">
        <v>94</v>
      </c>
    </row>
    <row r="6" spans="2:11" ht="25.8" x14ac:dyDescent="0.5">
      <c r="B6" s="6">
        <f>SUM('sales data'!J:J)</f>
        <v>951390</v>
      </c>
      <c r="E6" s="6">
        <f>SUM('sales data'!L:L)</f>
        <v>292250</v>
      </c>
      <c r="H6" s="5">
        <f>COUNTA('sales data'!A:A)-1</f>
        <v>24</v>
      </c>
      <c r="K6" s="6">
        <f>B6/H6</f>
        <v>39641.25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30668-CCE9-4FB8-863C-A185C2D8F559}">
  <dimension ref="A1:I24"/>
  <sheetViews>
    <sheetView tabSelected="1" workbookViewId="0">
      <selection activeCell="J10" sqref="J10"/>
    </sheetView>
  </sheetViews>
  <sheetFormatPr defaultRowHeight="14.4" x14ac:dyDescent="0.3"/>
  <cols>
    <col min="1" max="1" width="12.44140625" bestFit="1" customWidth="1"/>
    <col min="2" max="2" width="13.6640625" bestFit="1" customWidth="1"/>
    <col min="5" max="5" width="12.44140625" bestFit="1" customWidth="1"/>
    <col min="6" max="6" width="13.6640625" bestFit="1" customWidth="1"/>
    <col min="7" max="7" width="12.44140625" bestFit="1" customWidth="1"/>
    <col min="8" max="8" width="13.6640625" bestFit="1" customWidth="1"/>
    <col min="10" max="10" width="12.44140625" bestFit="1" customWidth="1"/>
    <col min="11" max="11" width="13.6640625" bestFit="1" customWidth="1"/>
    <col min="13" max="13" width="12.44140625" bestFit="1" customWidth="1"/>
    <col min="14" max="14" width="13.6640625" bestFit="1" customWidth="1"/>
  </cols>
  <sheetData>
    <row r="1" spans="1:9" ht="31.2" x14ac:dyDescent="0.6">
      <c r="A1" s="7" t="s">
        <v>83</v>
      </c>
      <c r="B1" s="8"/>
      <c r="C1" s="8"/>
      <c r="E1" s="7" t="s">
        <v>84</v>
      </c>
      <c r="F1" s="8"/>
      <c r="G1" s="8"/>
    </row>
    <row r="3" spans="1:9" x14ac:dyDescent="0.3">
      <c r="A3" s="2" t="s">
        <v>81</v>
      </c>
      <c r="B3" t="s">
        <v>80</v>
      </c>
      <c r="E3" s="2" t="s">
        <v>81</v>
      </c>
      <c r="F3" t="s">
        <v>80</v>
      </c>
    </row>
    <row r="4" spans="1:9" x14ac:dyDescent="0.3">
      <c r="A4" s="3" t="s">
        <v>47</v>
      </c>
      <c r="B4">
        <v>235880</v>
      </c>
      <c r="E4" s="3" t="s">
        <v>43</v>
      </c>
      <c r="F4">
        <v>75900</v>
      </c>
    </row>
    <row r="5" spans="1:9" x14ac:dyDescent="0.3">
      <c r="A5" s="3" t="s">
        <v>37</v>
      </c>
      <c r="B5">
        <v>285800</v>
      </c>
      <c r="E5" s="3" t="s">
        <v>56</v>
      </c>
      <c r="F5">
        <v>89600</v>
      </c>
    </row>
    <row r="6" spans="1:9" x14ac:dyDescent="0.3">
      <c r="A6" s="3" t="s">
        <v>42</v>
      </c>
      <c r="B6">
        <v>209220</v>
      </c>
      <c r="E6" s="3" t="s">
        <v>61</v>
      </c>
      <c r="F6">
        <v>51120</v>
      </c>
    </row>
    <row r="7" spans="1:9" x14ac:dyDescent="0.3">
      <c r="A7" s="3" t="s">
        <v>52</v>
      </c>
      <c r="B7">
        <v>220490</v>
      </c>
      <c r="E7" s="3" t="s">
        <v>38</v>
      </c>
      <c r="F7">
        <v>429000</v>
      </c>
    </row>
    <row r="8" spans="1:9" x14ac:dyDescent="0.3">
      <c r="A8" s="3" t="s">
        <v>82</v>
      </c>
      <c r="B8">
        <v>951390</v>
      </c>
      <c r="E8" s="3" t="s">
        <v>53</v>
      </c>
      <c r="F8">
        <v>167220</v>
      </c>
    </row>
    <row r="9" spans="1:9" x14ac:dyDescent="0.3">
      <c r="E9" s="3" t="s">
        <v>48</v>
      </c>
      <c r="F9">
        <v>10800</v>
      </c>
    </row>
    <row r="10" spans="1:9" x14ac:dyDescent="0.3">
      <c r="E10" s="3" t="s">
        <v>63</v>
      </c>
      <c r="F10">
        <v>4550</v>
      </c>
    </row>
    <row r="11" spans="1:9" x14ac:dyDescent="0.3">
      <c r="E11" s="3" t="s">
        <v>59</v>
      </c>
      <c r="F11">
        <v>123200</v>
      </c>
    </row>
    <row r="12" spans="1:9" x14ac:dyDescent="0.3">
      <c r="E12" s="3" t="s">
        <v>82</v>
      </c>
      <c r="F12">
        <v>951390</v>
      </c>
    </row>
    <row r="15" spans="1:9" ht="31.2" x14ac:dyDescent="0.6">
      <c r="A15" s="7" t="s">
        <v>85</v>
      </c>
      <c r="B15" s="8"/>
      <c r="C15" s="8"/>
      <c r="D15" s="8"/>
      <c r="F15" s="7" t="s">
        <v>95</v>
      </c>
      <c r="G15" s="8"/>
      <c r="H15" s="8"/>
      <c r="I15" s="8"/>
    </row>
    <row r="17" spans="1:8" x14ac:dyDescent="0.3">
      <c r="A17" s="2" t="s">
        <v>81</v>
      </c>
      <c r="B17" t="s">
        <v>80</v>
      </c>
      <c r="G17" s="2" t="s">
        <v>81</v>
      </c>
      <c r="H17" t="s">
        <v>80</v>
      </c>
    </row>
    <row r="18" spans="1:8" x14ac:dyDescent="0.3">
      <c r="A18" s="3" t="s">
        <v>46</v>
      </c>
      <c r="B18">
        <v>91440</v>
      </c>
      <c r="G18" s="3" t="s">
        <v>86</v>
      </c>
      <c r="H18">
        <v>267310</v>
      </c>
    </row>
    <row r="19" spans="1:8" x14ac:dyDescent="0.3">
      <c r="A19" s="3" t="s">
        <v>55</v>
      </c>
      <c r="B19">
        <v>210560</v>
      </c>
      <c r="G19" s="3" t="s">
        <v>87</v>
      </c>
      <c r="H19">
        <v>175120</v>
      </c>
    </row>
    <row r="20" spans="1:8" x14ac:dyDescent="0.3">
      <c r="A20" s="3" t="s">
        <v>51</v>
      </c>
      <c r="B20">
        <v>244790</v>
      </c>
      <c r="G20" s="3" t="s">
        <v>88</v>
      </c>
      <c r="H20">
        <v>281880</v>
      </c>
    </row>
    <row r="21" spans="1:8" x14ac:dyDescent="0.3">
      <c r="A21" s="3" t="s">
        <v>41</v>
      </c>
      <c r="B21">
        <v>72600</v>
      </c>
      <c r="G21" s="3" t="s">
        <v>89</v>
      </c>
      <c r="H21">
        <v>227080</v>
      </c>
    </row>
    <row r="22" spans="1:8" x14ac:dyDescent="0.3">
      <c r="A22" s="3" t="s">
        <v>36</v>
      </c>
      <c r="B22">
        <v>219680</v>
      </c>
      <c r="G22" s="3" t="s">
        <v>82</v>
      </c>
      <c r="H22">
        <v>951390</v>
      </c>
    </row>
    <row r="23" spans="1:8" x14ac:dyDescent="0.3">
      <c r="A23" s="3" t="s">
        <v>58</v>
      </c>
      <c r="B23">
        <v>112320</v>
      </c>
    </row>
    <row r="24" spans="1:8" x14ac:dyDescent="0.3">
      <c r="A24" s="3" t="s">
        <v>82</v>
      </c>
      <c r="B24">
        <v>951390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29484-34BF-4FF0-AA13-4D60FEACD761}">
  <dimension ref="A1:H9"/>
  <sheetViews>
    <sheetView workbookViewId="0">
      <selection activeCell="K13" sqref="K13"/>
    </sheetView>
  </sheetViews>
  <sheetFormatPr defaultRowHeight="14.4" x14ac:dyDescent="0.3"/>
  <cols>
    <col min="3" max="3" width="12.5546875" bestFit="1" customWidth="1"/>
  </cols>
  <sheetData>
    <row r="1" spans="1:8" x14ac:dyDescent="0.3">
      <c r="A1" t="s">
        <v>2</v>
      </c>
      <c r="B1" t="s">
        <v>12</v>
      </c>
      <c r="C1" t="s">
        <v>5</v>
      </c>
      <c r="D1" t="s">
        <v>13</v>
      </c>
      <c r="F1" t="s">
        <v>96</v>
      </c>
      <c r="G1" t="s">
        <v>97</v>
      </c>
      <c r="H1" t="s">
        <v>98</v>
      </c>
    </row>
    <row r="2" spans="1:8" x14ac:dyDescent="0.3">
      <c r="A2" t="s">
        <v>29</v>
      </c>
      <c r="B2" t="s">
        <v>25</v>
      </c>
      <c r="C2" t="s">
        <v>22</v>
      </c>
      <c r="D2" t="s">
        <v>14</v>
      </c>
      <c r="F2" t="s">
        <v>38</v>
      </c>
      <c r="G2" t="s">
        <v>39</v>
      </c>
      <c r="H2">
        <v>43000</v>
      </c>
    </row>
    <row r="3" spans="1:8" x14ac:dyDescent="0.3">
      <c r="A3" t="s">
        <v>30</v>
      </c>
      <c r="B3" t="s">
        <v>26</v>
      </c>
      <c r="C3" t="s">
        <v>23</v>
      </c>
      <c r="D3" t="s">
        <v>15</v>
      </c>
      <c r="F3" t="s">
        <v>53</v>
      </c>
      <c r="G3" t="s">
        <v>39</v>
      </c>
      <c r="H3">
        <v>12000</v>
      </c>
    </row>
    <row r="4" spans="1:8" x14ac:dyDescent="0.3">
      <c r="A4" t="s">
        <v>31</v>
      </c>
      <c r="B4" t="s">
        <v>27</v>
      </c>
      <c r="C4" t="s">
        <v>24</v>
      </c>
      <c r="D4" t="s">
        <v>16</v>
      </c>
      <c r="F4" t="s">
        <v>61</v>
      </c>
      <c r="G4" t="s">
        <v>39</v>
      </c>
      <c r="H4">
        <v>900</v>
      </c>
    </row>
    <row r="5" spans="1:8" x14ac:dyDescent="0.3">
      <c r="A5" t="s">
        <v>32</v>
      </c>
      <c r="B5" t="s">
        <v>28</v>
      </c>
      <c r="D5" t="s">
        <v>17</v>
      </c>
      <c r="F5" t="s">
        <v>43</v>
      </c>
      <c r="G5" t="s">
        <v>44</v>
      </c>
      <c r="H5">
        <v>3300</v>
      </c>
    </row>
    <row r="6" spans="1:8" x14ac:dyDescent="0.3">
      <c r="A6" t="s">
        <v>33</v>
      </c>
      <c r="D6" t="s">
        <v>18</v>
      </c>
      <c r="F6" t="s">
        <v>56</v>
      </c>
      <c r="G6" t="s">
        <v>44</v>
      </c>
      <c r="H6">
        <v>9000</v>
      </c>
    </row>
    <row r="7" spans="1:8" x14ac:dyDescent="0.3">
      <c r="A7" t="s">
        <v>34</v>
      </c>
      <c r="D7" t="s">
        <v>19</v>
      </c>
      <c r="F7" t="s">
        <v>59</v>
      </c>
      <c r="G7" t="s">
        <v>39</v>
      </c>
      <c r="H7">
        <v>15000</v>
      </c>
    </row>
    <row r="8" spans="1:8" x14ac:dyDescent="0.3">
      <c r="D8" t="s">
        <v>20</v>
      </c>
      <c r="F8" t="s">
        <v>48</v>
      </c>
      <c r="G8" t="s">
        <v>49</v>
      </c>
      <c r="H8">
        <v>70</v>
      </c>
    </row>
    <row r="9" spans="1:8" x14ac:dyDescent="0.3">
      <c r="D9" t="s">
        <v>21</v>
      </c>
      <c r="F9" t="s">
        <v>63</v>
      </c>
      <c r="G9" t="s">
        <v>49</v>
      </c>
      <c r="H9">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dashboard</vt:lpstr>
      <vt:lpstr>pivot tables</vt:lpstr>
      <vt:lpstr>lookup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dahiya</dc:creator>
  <cp:lastModifiedBy>harsh dahiya</cp:lastModifiedBy>
  <dcterms:created xsi:type="dcterms:W3CDTF">2026-09-19T11:03:30Z</dcterms:created>
  <dcterms:modified xsi:type="dcterms:W3CDTF">2026-09-23T13:07:22Z</dcterms:modified>
</cp:coreProperties>
</file>